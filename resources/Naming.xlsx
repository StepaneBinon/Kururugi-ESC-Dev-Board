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on\Desktop\Kururugi-ESC-Dev-Board\resources\"/>
    </mc:Choice>
  </mc:AlternateContent>
  <xr:revisionPtr revIDLastSave="0" documentId="13_ncr:1_{E31D3165-06FD-4D6F-ADCE-CEF74F55657E}" xr6:coauthVersionLast="47" xr6:coauthVersionMax="47" xr10:uidLastSave="{00000000-0000-0000-0000-000000000000}"/>
  <bookViews>
    <workbookView xWindow="-110" yWindow="-110" windowWidth="25820" windowHeight="15500" xr2:uid="{FFA2FD30-86E3-47F9-B4EF-61CEDAF54B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K24" i="1"/>
  <c r="J23" i="1"/>
  <c r="K23" i="1"/>
  <c r="J22" i="1"/>
  <c r="K22" i="1"/>
  <c r="J21" i="1"/>
  <c r="K21" i="1"/>
  <c r="J20" i="1"/>
  <c r="K20" i="1"/>
  <c r="K14" i="1"/>
  <c r="K15" i="1"/>
  <c r="K16" i="1"/>
  <c r="K17" i="1"/>
  <c r="K18" i="1"/>
  <c r="K19" i="1"/>
  <c r="J14" i="1"/>
  <c r="J15" i="1"/>
  <c r="J16" i="1"/>
  <c r="J17" i="1"/>
  <c r="J18" i="1"/>
  <c r="J19" i="1"/>
  <c r="K8" i="1"/>
  <c r="L3" i="1"/>
  <c r="L4" i="1"/>
  <c r="L5" i="1"/>
  <c r="L6" i="1"/>
  <c r="L7" i="1"/>
  <c r="L10" i="1"/>
  <c r="L8" i="1"/>
  <c r="L9" i="1"/>
  <c r="L11" i="1"/>
  <c r="M4" i="1"/>
  <c r="M5" i="1"/>
  <c r="M6" i="1"/>
  <c r="M7" i="1"/>
  <c r="M10" i="1"/>
  <c r="M8" i="1"/>
  <c r="M9" i="1"/>
  <c r="M11" i="1"/>
  <c r="M3" i="1"/>
  <c r="K11" i="1"/>
  <c r="K9" i="1"/>
  <c r="K10" i="1"/>
  <c r="K7" i="1"/>
  <c r="K6" i="1"/>
  <c r="K5" i="1"/>
  <c r="K4" i="1"/>
  <c r="K3" i="1"/>
  <c r="E20" i="1"/>
  <c r="E13" i="1"/>
  <c r="E25" i="1"/>
  <c r="E23" i="1"/>
  <c r="E19" i="1"/>
  <c r="E12" i="1"/>
  <c r="E14" i="1"/>
  <c r="E27" i="1"/>
  <c r="E7" i="1"/>
  <c r="E8" i="1"/>
  <c r="E24" i="1"/>
  <c r="E5" i="1"/>
  <c r="E30" i="1"/>
  <c r="E9" i="1"/>
  <c r="E4" i="1"/>
  <c r="E21" i="1"/>
  <c r="E10" i="1"/>
  <c r="E17" i="1"/>
  <c r="E28" i="1"/>
  <c r="E31" i="1"/>
  <c r="E29" i="1"/>
  <c r="E26" i="1"/>
  <c r="E22" i="1"/>
  <c r="E16" i="1"/>
  <c r="E15" i="1"/>
  <c r="E18" i="1"/>
  <c r="E6" i="1"/>
  <c r="E11" i="1"/>
  <c r="E3" i="1"/>
</calcChain>
</file>

<file path=xl/sharedStrings.xml><?xml version="1.0" encoding="utf-8"?>
<sst xmlns="http://schemas.openxmlformats.org/spreadsheetml/2006/main" count="73" uniqueCount="50">
  <si>
    <t>Guillhem</t>
  </si>
  <si>
    <t>Stepane</t>
  </si>
  <si>
    <t>Nom</t>
  </si>
  <si>
    <t>Bare Metal Foundry</t>
  </si>
  <si>
    <t>Grounded Playground</t>
  </si>
  <si>
    <t>Stacked Systems</t>
  </si>
  <si>
    <t>Jitter Scheduled</t>
  </si>
  <si>
    <t xml:space="preserve">Embedded Circus </t>
  </si>
  <si>
    <t>Real-Time Collective</t>
  </si>
  <si>
    <t xml:space="preserve">Rotor &amp; Roots </t>
  </si>
  <si>
    <t>Helix &amp; Wheels</t>
  </si>
  <si>
    <t>Grounded Garage</t>
  </si>
  <si>
    <t>Probably Stable Robotics</t>
  </si>
  <si>
    <t>Autonomous Mischief</t>
  </si>
  <si>
    <t>Curious actuator</t>
  </si>
  <si>
    <t>Deterministic chaos</t>
  </si>
  <si>
    <t>Tickless Systems</t>
  </si>
  <si>
    <t>Lyapanov friends</t>
  </si>
  <si>
    <t>EigenWorks</t>
  </si>
  <si>
    <t>Open Problem Makers</t>
  </si>
  <si>
    <t>Analog, Bits &amp; Code</t>
  </si>
  <si>
    <t>Prototyping In the Dark</t>
  </si>
  <si>
    <t>The Control Foundry</t>
  </si>
  <si>
    <t>Feedback Forge</t>
  </si>
  <si>
    <t>Mean</t>
  </si>
  <si>
    <t>Control Freaks</t>
  </si>
  <si>
    <t>Kineticast</t>
  </si>
  <si>
    <t>Dynastack / Dynamic Stack</t>
  </si>
  <si>
    <t>Bare Motion Systems</t>
  </si>
  <si>
    <t>Coretica</t>
  </si>
  <si>
    <t>Kinetrix</t>
  </si>
  <si>
    <t>RTStack</t>
  </si>
  <si>
    <t>Bare Metals Systems</t>
  </si>
  <si>
    <t>Delta</t>
  </si>
  <si>
    <t>Amelie</t>
  </si>
  <si>
    <t>mais dans l'autre sens</t>
  </si>
  <si>
    <t>Amelie mean</t>
  </si>
  <si>
    <t>Comments</t>
  </si>
  <si>
    <t>Bare Metal Mechanics</t>
  </si>
  <si>
    <t>Bare Metal Forge</t>
  </si>
  <si>
    <t>Bare Metal Machinists</t>
  </si>
  <si>
    <t>Bare Metal Engineers</t>
  </si>
  <si>
    <t>Bare Metal Engineering</t>
  </si>
  <si>
    <t>Bare Metal Designers</t>
  </si>
  <si>
    <t>Bare Metal Plant</t>
  </si>
  <si>
    <t>Bare Metal Workshop</t>
  </si>
  <si>
    <t>Bare Metal Atelier</t>
  </si>
  <si>
    <t>Bare Metal Mill</t>
  </si>
  <si>
    <t>ok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</si>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</sst>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2" xfId="0" applyFont="1" applyBorder="1"/>
    <xf numFmtId="0" fontId="1" fillId="0" borderId="2" xfId="0" applyFont="1" applyFill="1" applyBorder="1"/>
    <xf numFmtId="0" fontId="0" fillId="0" borderId="3" xfId="0" applyBorder="1"/>
    <xf numFmtId="0" fontId="1" fillId="0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0" borderId="7" xfId="0" applyFont="1" applyBorder="1"/>
    <xf numFmtId="0" fontId="0" fillId="2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1" fillId="2" borderId="7" xfId="0" applyFont="1" applyFill="1" applyBorder="1"/>
    <xf numFmtId="0" fontId="0" fillId="2" borderId="8" xfId="0" applyFont="1" applyFill="1" applyBorder="1"/>
    <xf numFmtId="0" fontId="1" fillId="0" borderId="0" xfId="0" applyFont="1" applyBorder="1"/>
    <xf numFmtId="0" fontId="0" fillId="0" borderId="0" xfId="0" applyFont="1" applyBorder="1"/>
    <xf numFmtId="0" fontId="0" fillId="0" borderId="0" xfId="0" applyBorder="1"/>
    <xf numFmtId="0" fontId="3" fillId="3" borderId="4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5" xfId="0" applyFont="1" applyBorder="1"/>
    <xf numFmtId="0" fontId="0" fillId="0" borderId="8" xfId="0" applyFont="1" applyBorder="1"/>
    <xf numFmtId="170" fontId="0" fillId="2" borderId="3" xfId="0" applyNumberFormat="1" applyFont="1" applyFill="1" applyBorder="1"/>
    <xf numFmtId="170" fontId="0" fillId="0" borderId="3" xfId="0" applyNumberFormat="1" applyFont="1" applyBorder="1"/>
    <xf numFmtId="170" fontId="0" fillId="2" borderId="9" xfId="0" applyNumberFormat="1" applyFont="1" applyFill="1" applyBorder="1"/>
    <xf numFmtId="0" fontId="4" fillId="0" borderId="2" xfId="0" applyFont="1" applyBorder="1"/>
    <xf numFmtId="0" fontId="5" fillId="0" borderId="1" xfId="0" applyFont="1" applyBorder="1"/>
    <xf numFmtId="170" fontId="5" fillId="0" borderId="3" xfId="0" applyNumberFormat="1" applyFont="1" applyBorder="1"/>
    <xf numFmtId="0" fontId="5" fillId="0" borderId="3" xfId="0" applyFont="1" applyBorder="1"/>
    <xf numFmtId="0" fontId="4" fillId="2" borderId="2" xfId="0" applyFont="1" applyFill="1" applyBorder="1"/>
    <xf numFmtId="0" fontId="5" fillId="2" borderId="1" xfId="0" applyFont="1" applyFill="1" applyBorder="1"/>
    <xf numFmtId="170" fontId="5" fillId="2" borderId="3" xfId="0" applyNumberFormat="1" applyFont="1" applyFill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30">
    <dxf>
      <font>
        <i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"/>
      <fill>
        <patternFill patternType="solid">
          <fgColor theme="5" tint="0.79998168889431442"/>
          <bgColor theme="5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09224-7411-488E-9CC1-47EAAA9016B3}" name="Tableau2" displayName="Tableau2" ref="B2:E31" totalsRowShown="0" headerRowDxfId="29" headerRowBorderDxfId="27" tableBorderDxfId="28" totalsRowBorderDxfId="26">
  <autoFilter ref="B2:E31" xr:uid="{D0109224-7411-488E-9CC1-47EAAA9016B3}"/>
  <sortState xmlns:xlrd2="http://schemas.microsoft.com/office/spreadsheetml/2017/richdata2" ref="B3:E31">
    <sortCondition descending="1" ref="E2:E31"/>
  </sortState>
  <tableColumns count="4">
    <tableColumn id="1" xr3:uid="{F0E7DD40-EE5B-4DD7-99F7-2DA1C6BA4D66}" name="Nom" dataDxfId="25"/>
    <tableColumn id="2" xr3:uid="{B9BF20E3-3626-4AE8-BBD6-A65EA8441335}" name="Guillhem" dataDxfId="24"/>
    <tableColumn id="3" xr3:uid="{5E8DB262-67D2-46BD-80E2-1972A9B10B12}" name="Stepane" dataDxfId="23"/>
    <tableColumn id="4" xr3:uid="{E14924FA-464D-4023-A5E1-1193CF262FB4}" name="Mean" dataDxfId="22">
      <calculatedColumnFormula>(D3+C3)/2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3DBFE-A3AC-4DFD-A980-15F958522E43}" name="Tableau3" displayName="Tableau3" ref="G2:N11" totalsRowShown="0" headerRowDxfId="14" dataDxfId="21" headerRowBorderDxfId="19" tableBorderDxfId="20" totalsRowBorderDxfId="18">
  <autoFilter ref="G2:N11" xr:uid="{C1A3DBFE-A3AC-4DFD-A980-15F958522E43}"/>
  <sortState xmlns:xlrd2="http://schemas.microsoft.com/office/spreadsheetml/2017/richdata2" ref="G3:N11">
    <sortCondition descending="1" ref="K2:K11"/>
  </sortState>
  <tableColumns count="8">
    <tableColumn id="1" xr3:uid="{C0DA00F7-07FC-4A39-AB9A-ADC231CDBE17}" name="Nom" dataDxfId="17"/>
    <tableColumn id="2" xr3:uid="{2C9CE820-96FA-43C0-AE5D-E11C898279AE}" name="Guillhem" dataDxfId="16"/>
    <tableColumn id="6" xr3:uid="{01FA8892-0CF9-4051-8E24-6C95A37C19C1}" name="Amelie" dataDxfId="13"/>
    <tableColumn id="3" xr3:uid="{2C33DB65-B4EF-4786-A006-500FD59576B4}" name="Stepane" dataDxfId="15"/>
    <tableColumn id="4" xr3:uid="{921CFAC8-EDFA-4FD0-AD9E-50BBF02AE64B}" name="Mean" dataDxfId="11"/>
    <tableColumn id="8" xr3:uid="{9B27AFB1-807D-4588-A7EC-61E8E5FCFCB6}" name="Amelie mean" dataDxfId="9">
      <calculatedColumnFormula>(Tableau3[[#This Row],[Stepane]]+Tableau3[[#This Row],[Amelie]]+Tableau3[[#This Row],[Guillhem]])/3</calculatedColumnFormula>
    </tableColumn>
    <tableColumn id="5" xr3:uid="{039FCA23-7AEE-485C-862B-34BA5664D2FD}" name="Delta" dataDxfId="10"/>
    <tableColumn id="7" xr3:uid="{A8112A08-042F-4701-BDB9-CC3D3F2A70F4}" name="Comments" dataDxfId="1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5410E6-69E3-46DD-B342-8FC598634DF0}" name="Tableau4" displayName="Tableau4" ref="G13:K24" totalsRowShown="0" headerRowDxfId="4" headerRowBorderDxfId="7" tableBorderDxfId="8" totalsRowBorderDxfId="6">
  <autoFilter ref="G13:K24" xr:uid="{615410E6-69E3-46DD-B342-8FC598634DF0}"/>
  <tableColumns count="5">
    <tableColumn id="1" xr3:uid="{B0DA5F17-6BAE-4533-BAC1-605813738EEA}" name="Nom" dataDxfId="0"/>
    <tableColumn id="2" xr3:uid="{1DF8BDEB-8FE3-4074-9D4C-B6FE4E2F021F}" name="Guillhem" dataDxfId="1"/>
    <tableColumn id="3" xr3:uid="{8E35DCE8-4A55-4EC9-A813-8A2CEFCC1178}" name="Stepane" dataDxfId="5"/>
    <tableColumn id="4" xr3:uid="{35066C1B-2976-44F1-8326-4F2FBD380964}" name="Mean" dataDxfId="3">
      <calculatedColumnFormula>(Tableau4[[#This Row],[Guillhem]]+Tableau4[[#This Row],[Stepane]])/2</calculatedColumnFormula>
    </tableColumn>
    <tableColumn id="5" xr3:uid="{9053C29B-C86F-4149-8C40-960FE38AC9DD}" name="Delta" dataDxfId="2">
      <calculatedColumnFormula>ABS(Tableau4[[#This Row],[Guillhem]]-Tableau4[[#This Row],[Stepane]])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98B7-10A5-49C4-BDD1-AF2D0C4D1070}">
  <dimension ref="B2:N31"/>
  <sheetViews>
    <sheetView tabSelected="1" workbookViewId="0">
      <selection activeCell="K29" sqref="K29"/>
    </sheetView>
  </sheetViews>
  <sheetFormatPr baseColWidth="10" defaultRowHeight="14.5" x14ac:dyDescent="0.35"/>
  <cols>
    <col min="1" max="1" width="4" customWidth="1"/>
    <col min="2" max="2" width="24.54296875" customWidth="1"/>
    <col min="3" max="3" width="14.54296875" customWidth="1"/>
    <col min="4" max="4" width="14.7265625" customWidth="1"/>
    <col min="5" max="5" width="13.90625" customWidth="1"/>
    <col min="6" max="6" width="3.6328125" customWidth="1"/>
    <col min="7" max="7" width="23.453125" bestFit="1" customWidth="1"/>
    <col min="8" max="8" width="13.08984375" customWidth="1"/>
    <col min="9" max="9" width="13.1796875" customWidth="1"/>
    <col min="10" max="10" width="12.7265625" customWidth="1"/>
    <col min="12" max="12" width="16.7265625" customWidth="1"/>
    <col min="14" max="14" width="21.1796875" customWidth="1"/>
  </cols>
  <sheetData>
    <row r="2" spans="2:14" x14ac:dyDescent="0.35">
      <c r="B2" s="10" t="s">
        <v>2</v>
      </c>
      <c r="C2" s="11" t="s">
        <v>0</v>
      </c>
      <c r="D2" s="11" t="s">
        <v>1</v>
      </c>
      <c r="E2" s="12" t="s">
        <v>24</v>
      </c>
      <c r="G2" s="22" t="s">
        <v>2</v>
      </c>
      <c r="H2" s="23" t="s">
        <v>0</v>
      </c>
      <c r="I2" s="23" t="s">
        <v>34</v>
      </c>
      <c r="J2" s="23" t="s">
        <v>1</v>
      </c>
      <c r="K2" s="23" t="s">
        <v>24</v>
      </c>
      <c r="L2" s="24" t="s">
        <v>36</v>
      </c>
      <c r="M2" s="24" t="s">
        <v>33</v>
      </c>
      <c r="N2" s="23" t="s">
        <v>37</v>
      </c>
    </row>
    <row r="3" spans="2:14" x14ac:dyDescent="0.35">
      <c r="B3" s="3" t="s">
        <v>3</v>
      </c>
      <c r="C3" s="1">
        <v>4</v>
      </c>
      <c r="D3" s="1">
        <v>4</v>
      </c>
      <c r="E3" s="5">
        <f>(D3+C3)/2</f>
        <v>4</v>
      </c>
      <c r="G3" s="16" t="s">
        <v>3</v>
      </c>
      <c r="H3" s="14">
        <v>4</v>
      </c>
      <c r="I3" s="14">
        <v>3</v>
      </c>
      <c r="J3" s="14">
        <v>4</v>
      </c>
      <c r="K3" s="14">
        <f>(J3+H3)/2</f>
        <v>4</v>
      </c>
      <c r="L3" s="27">
        <f>(Tableau3[[#This Row],[Stepane]]+Tableau3[[#This Row],[Amelie]]+Tableau3[[#This Row],[Guillhem]])/3</f>
        <v>3.6666666666666665</v>
      </c>
      <c r="M3" s="5">
        <f>ABS(J3-H3)</f>
        <v>0</v>
      </c>
      <c r="N3" s="25"/>
    </row>
    <row r="4" spans="2:14" x14ac:dyDescent="0.35">
      <c r="B4" s="3" t="s">
        <v>10</v>
      </c>
      <c r="C4" s="1">
        <v>2.8</v>
      </c>
      <c r="D4" s="1">
        <v>4</v>
      </c>
      <c r="E4" s="5">
        <f>(D4+C4)/2</f>
        <v>3.4</v>
      </c>
      <c r="G4" s="30" t="s">
        <v>10</v>
      </c>
      <c r="H4" s="31">
        <v>2.8</v>
      </c>
      <c r="I4" s="31">
        <v>3.5</v>
      </c>
      <c r="J4" s="31">
        <v>4</v>
      </c>
      <c r="K4" s="31">
        <f>(J4+H4)/2</f>
        <v>3.4</v>
      </c>
      <c r="L4" s="32">
        <f>(Tableau3[[#This Row],[Stepane]]+Tableau3[[#This Row],[Amelie]]+Tableau3[[#This Row],[Guillhem]])/3</f>
        <v>3.4333333333333336</v>
      </c>
      <c r="M4" s="33">
        <f>ABS(J4-H4)</f>
        <v>1.2000000000000002</v>
      </c>
      <c r="N4" s="31"/>
    </row>
    <row r="5" spans="2:14" x14ac:dyDescent="0.35">
      <c r="B5" s="3" t="s">
        <v>7</v>
      </c>
      <c r="C5" s="1">
        <v>2.8</v>
      </c>
      <c r="D5" s="1">
        <v>3.9</v>
      </c>
      <c r="E5" s="5">
        <f>(D5+C5)/2</f>
        <v>3.3499999999999996</v>
      </c>
      <c r="G5" s="34" t="s">
        <v>7</v>
      </c>
      <c r="H5" s="35">
        <v>2.8</v>
      </c>
      <c r="I5" s="35">
        <v>3</v>
      </c>
      <c r="J5" s="35">
        <v>3.9</v>
      </c>
      <c r="K5" s="35">
        <f>(J5+H5)/2</f>
        <v>3.3499999999999996</v>
      </c>
      <c r="L5" s="36">
        <f>(Tableau3[[#This Row],[Stepane]]+Tableau3[[#This Row],[Amelie]]+Tableau3[[#This Row],[Guillhem]])/3</f>
        <v>3.2333333333333329</v>
      </c>
      <c r="M5" s="33">
        <f>ABS(J5-H5)</f>
        <v>1.1000000000000001</v>
      </c>
      <c r="N5" s="31"/>
    </row>
    <row r="6" spans="2:14" x14ac:dyDescent="0.35">
      <c r="B6" s="4" t="s">
        <v>22</v>
      </c>
      <c r="C6" s="2">
        <v>3.6</v>
      </c>
      <c r="D6" s="2">
        <v>3</v>
      </c>
      <c r="E6" s="5">
        <f>(D6+C6)/2</f>
        <v>3.3</v>
      </c>
      <c r="G6" s="3" t="s">
        <v>22</v>
      </c>
      <c r="H6" s="15">
        <v>3.6</v>
      </c>
      <c r="I6" s="15">
        <v>2</v>
      </c>
      <c r="J6" s="15">
        <v>3</v>
      </c>
      <c r="K6" s="15">
        <f>(J6+H6)/2</f>
        <v>3.3</v>
      </c>
      <c r="L6" s="28">
        <f>(Tableau3[[#This Row],[Stepane]]+Tableau3[[#This Row],[Amelie]]+Tableau3[[#This Row],[Guillhem]])/3</f>
        <v>2.8666666666666667</v>
      </c>
      <c r="M6" s="5">
        <f>ABS(J6-H6)</f>
        <v>0.60000000000000009</v>
      </c>
      <c r="N6" s="15"/>
    </row>
    <row r="7" spans="2:14" x14ac:dyDescent="0.35">
      <c r="B7" s="3" t="s">
        <v>4</v>
      </c>
      <c r="C7" s="1">
        <v>2.5</v>
      </c>
      <c r="D7" s="1">
        <v>3.9</v>
      </c>
      <c r="E7" s="5">
        <f>(D7+C7)/2</f>
        <v>3.2</v>
      </c>
      <c r="G7" s="16" t="s">
        <v>4</v>
      </c>
      <c r="H7" s="14">
        <v>2.5</v>
      </c>
      <c r="I7" s="14">
        <v>2.5</v>
      </c>
      <c r="J7" s="14">
        <v>3.9</v>
      </c>
      <c r="K7" s="14">
        <f>(J7+H7)/2</f>
        <v>3.2</v>
      </c>
      <c r="L7" s="27">
        <f>(Tableau3[[#This Row],[Stepane]]+Tableau3[[#This Row],[Amelie]]+Tableau3[[#This Row],[Guillhem]])/3</f>
        <v>2.9666666666666668</v>
      </c>
      <c r="M7" s="5">
        <f>ABS(J7-H7)</f>
        <v>1.4</v>
      </c>
      <c r="N7" s="15"/>
    </row>
    <row r="8" spans="2:14" x14ac:dyDescent="0.35">
      <c r="B8" s="3" t="s">
        <v>5</v>
      </c>
      <c r="C8" s="1">
        <v>2.8</v>
      </c>
      <c r="D8" s="1">
        <v>3.5</v>
      </c>
      <c r="E8" s="5">
        <f>(D8+C8)/2</f>
        <v>3.15</v>
      </c>
      <c r="G8" s="34" t="s">
        <v>9</v>
      </c>
      <c r="H8" s="35">
        <v>3.3</v>
      </c>
      <c r="I8" s="35">
        <v>4</v>
      </c>
      <c r="J8" s="35">
        <v>3</v>
      </c>
      <c r="K8" s="35">
        <f>(J8+H8)/2</f>
        <v>3.15</v>
      </c>
      <c r="L8" s="36">
        <f>(Tableau3[[#This Row],[Stepane]]+Tableau3[[#This Row],[Amelie]]+Tableau3[[#This Row],[Guillhem]])/3</f>
        <v>3.4333333333333336</v>
      </c>
      <c r="M8" s="33">
        <f>ABS(J8-H8)</f>
        <v>0.29999999999999982</v>
      </c>
      <c r="N8" s="31" t="s">
        <v>35</v>
      </c>
    </row>
    <row r="9" spans="2:14" x14ac:dyDescent="0.35">
      <c r="B9" s="3" t="s">
        <v>9</v>
      </c>
      <c r="C9" s="1">
        <v>3.3</v>
      </c>
      <c r="D9" s="1">
        <v>3</v>
      </c>
      <c r="E9" s="5">
        <f>(D9+C9)/2</f>
        <v>3.15</v>
      </c>
      <c r="G9" s="3" t="s">
        <v>12</v>
      </c>
      <c r="H9" s="15">
        <v>3.3</v>
      </c>
      <c r="I9" s="15">
        <v>3</v>
      </c>
      <c r="J9" s="15">
        <v>3</v>
      </c>
      <c r="K9" s="15">
        <f>(J9+H9)/2</f>
        <v>3.15</v>
      </c>
      <c r="L9" s="28">
        <f>(Tableau3[[#This Row],[Stepane]]+Tableau3[[#This Row],[Amelie]]+Tableau3[[#This Row],[Guillhem]])/3</f>
        <v>3.1</v>
      </c>
      <c r="M9" s="5">
        <f>ABS(J9-H9)</f>
        <v>0.29999999999999982</v>
      </c>
      <c r="N9" s="15"/>
    </row>
    <row r="10" spans="2:14" x14ac:dyDescent="0.35">
      <c r="B10" s="3" t="s">
        <v>12</v>
      </c>
      <c r="C10" s="1">
        <v>3.3</v>
      </c>
      <c r="D10" s="1">
        <v>3</v>
      </c>
      <c r="E10" s="5">
        <f>(D10+C10)/2</f>
        <v>3.15</v>
      </c>
      <c r="G10" s="30" t="s">
        <v>5</v>
      </c>
      <c r="H10" s="31">
        <v>2.8</v>
      </c>
      <c r="I10" s="31">
        <v>2</v>
      </c>
      <c r="J10" s="31">
        <v>3.5</v>
      </c>
      <c r="K10" s="31">
        <f>(J10+H10)/2</f>
        <v>3.15</v>
      </c>
      <c r="L10" s="32">
        <f>(Tableau3[[#This Row],[Stepane]]+Tableau3[[#This Row],[Amelie]]+Tableau3[[#This Row],[Guillhem]])/3</f>
        <v>2.7666666666666671</v>
      </c>
      <c r="M10" s="33">
        <f>ABS(J10-H10)</f>
        <v>0.70000000000000018</v>
      </c>
      <c r="N10" s="15"/>
    </row>
    <row r="11" spans="2:14" x14ac:dyDescent="0.35">
      <c r="B11" s="4" t="s">
        <v>23</v>
      </c>
      <c r="C11" s="1">
        <v>3.3</v>
      </c>
      <c r="D11" s="1">
        <v>3</v>
      </c>
      <c r="E11" s="5">
        <f>(D11+C11)/2</f>
        <v>3.15</v>
      </c>
      <c r="G11" s="17" t="s">
        <v>23</v>
      </c>
      <c r="H11" s="18">
        <v>3.3</v>
      </c>
      <c r="I11" s="18">
        <v>2</v>
      </c>
      <c r="J11" s="18">
        <v>3</v>
      </c>
      <c r="K11" s="18">
        <f>(J11+H11)/2</f>
        <v>3.15</v>
      </c>
      <c r="L11" s="29">
        <f>(Tableau3[[#This Row],[Stepane]]+Tableau3[[#This Row],[Amelie]]+Tableau3[[#This Row],[Guillhem]])/3</f>
        <v>2.7666666666666671</v>
      </c>
      <c r="M11" s="8">
        <f>ABS(J11-H11)</f>
        <v>0.29999999999999982</v>
      </c>
      <c r="N11" s="26"/>
    </row>
    <row r="12" spans="2:14" x14ac:dyDescent="0.35">
      <c r="B12" s="4" t="s">
        <v>27</v>
      </c>
      <c r="C12" s="1">
        <v>3.2</v>
      </c>
      <c r="D12" s="1">
        <v>2.7</v>
      </c>
      <c r="E12" s="5">
        <f>(D12+C12)/2</f>
        <v>2.95</v>
      </c>
      <c r="G12" s="19"/>
      <c r="H12" s="20"/>
      <c r="I12" s="20"/>
      <c r="J12" s="20"/>
      <c r="K12" s="21"/>
    </row>
    <row r="13" spans="2:14" x14ac:dyDescent="0.35">
      <c r="B13" s="4" t="s">
        <v>31</v>
      </c>
      <c r="C13" s="1">
        <v>3</v>
      </c>
      <c r="D13" s="1">
        <v>2.9</v>
      </c>
      <c r="E13" s="5">
        <f>(D13+C13)/2</f>
        <v>2.95</v>
      </c>
      <c r="G13" s="22" t="s">
        <v>2</v>
      </c>
      <c r="H13" s="23" t="s">
        <v>0</v>
      </c>
      <c r="I13" s="23" t="s">
        <v>1</v>
      </c>
      <c r="J13" s="23" t="s">
        <v>24</v>
      </c>
      <c r="K13" s="24" t="s">
        <v>33</v>
      </c>
    </row>
    <row r="14" spans="2:14" x14ac:dyDescent="0.35">
      <c r="B14" s="4" t="s">
        <v>26</v>
      </c>
      <c r="C14" s="1">
        <v>3</v>
      </c>
      <c r="D14" s="1">
        <v>2.7</v>
      </c>
      <c r="E14" s="5">
        <f>(D14+C14)/2</f>
        <v>2.85</v>
      </c>
      <c r="G14" s="16" t="s">
        <v>3</v>
      </c>
      <c r="H14" s="1">
        <v>4</v>
      </c>
      <c r="I14" s="1">
        <v>4</v>
      </c>
      <c r="J14" s="14">
        <f>(Tableau4[[#This Row],[Guillhem]]+Tableau4[[#This Row],[Stepane]])/2</f>
        <v>4</v>
      </c>
      <c r="K14" s="5">
        <f>ABS(Tableau4[[#This Row],[Guillhem]]-Tableau4[[#This Row],[Stepane]])</f>
        <v>0</v>
      </c>
    </row>
    <row r="15" spans="2:14" x14ac:dyDescent="0.35">
      <c r="B15" s="3" t="s">
        <v>20</v>
      </c>
      <c r="C15" s="1">
        <v>2</v>
      </c>
      <c r="D15" s="1">
        <v>3.6</v>
      </c>
      <c r="E15" s="5">
        <f>(D15+C15)/2</f>
        <v>2.8</v>
      </c>
      <c r="G15" s="3" t="s">
        <v>38</v>
      </c>
      <c r="H15" s="1"/>
      <c r="I15" s="1"/>
      <c r="J15" s="1">
        <f>(Tableau4[[#This Row],[Guillhem]]+Tableau4[[#This Row],[Stepane]])/2</f>
        <v>0</v>
      </c>
      <c r="K15" s="5">
        <f>ABS(Tableau4[[#This Row],[Guillhem]]-Tableau4[[#This Row],[Stepane]])</f>
        <v>0</v>
      </c>
    </row>
    <row r="16" spans="2:14" x14ac:dyDescent="0.35">
      <c r="B16" s="3" t="s">
        <v>19</v>
      </c>
      <c r="C16" s="1">
        <v>2.2999999999999998</v>
      </c>
      <c r="D16" s="1">
        <v>3</v>
      </c>
      <c r="E16" s="5">
        <f>(D16+C16)/2</f>
        <v>2.65</v>
      </c>
      <c r="G16" s="3" t="s">
        <v>39</v>
      </c>
      <c r="H16" s="1"/>
      <c r="I16" s="1"/>
      <c r="J16" s="1">
        <f>(Tableau4[[#This Row],[Guillhem]]+Tableau4[[#This Row],[Stepane]])/2</f>
        <v>0</v>
      </c>
      <c r="K16" s="5">
        <f>ABS(Tableau4[[#This Row],[Guillhem]]-Tableau4[[#This Row],[Stepane]])</f>
        <v>0</v>
      </c>
    </row>
    <row r="17" spans="2:11" x14ac:dyDescent="0.35">
      <c r="B17" s="3" t="s">
        <v>13</v>
      </c>
      <c r="C17" s="1">
        <v>2.7</v>
      </c>
      <c r="D17" s="1">
        <v>2.4</v>
      </c>
      <c r="E17" s="5">
        <f>(D17+C17)/2</f>
        <v>2.5499999999999998</v>
      </c>
      <c r="G17" s="3" t="s">
        <v>40</v>
      </c>
      <c r="H17" s="1"/>
      <c r="I17" s="1"/>
      <c r="J17" s="1">
        <f>(Tableau4[[#This Row],[Guillhem]]+Tableau4[[#This Row],[Stepane]])/2</f>
        <v>0</v>
      </c>
      <c r="K17" s="5">
        <f>ABS(Tableau4[[#This Row],[Guillhem]]-Tableau4[[#This Row],[Stepane]])</f>
        <v>0</v>
      </c>
    </row>
    <row r="18" spans="2:11" x14ac:dyDescent="0.35">
      <c r="B18" s="3" t="s">
        <v>21</v>
      </c>
      <c r="C18" s="1">
        <v>2.4</v>
      </c>
      <c r="D18" s="1">
        <v>2.7</v>
      </c>
      <c r="E18" s="5">
        <f>(D18+C18)/2</f>
        <v>2.5499999999999998</v>
      </c>
      <c r="G18" s="3" t="s">
        <v>41</v>
      </c>
      <c r="H18" s="1"/>
      <c r="I18" s="1"/>
      <c r="J18" s="1">
        <f>(Tableau4[[#This Row],[Guillhem]]+Tableau4[[#This Row],[Stepane]])/2</f>
        <v>0</v>
      </c>
      <c r="K18" s="5">
        <f>ABS(Tableau4[[#This Row],[Guillhem]]-Tableau4[[#This Row],[Stepane]])</f>
        <v>0</v>
      </c>
    </row>
    <row r="19" spans="2:11" x14ac:dyDescent="0.35">
      <c r="B19" s="4" t="s">
        <v>28</v>
      </c>
      <c r="C19" s="1">
        <v>2.9</v>
      </c>
      <c r="D19" s="1">
        <v>2.1</v>
      </c>
      <c r="E19" s="5">
        <f>(D19+C19)/2</f>
        <v>2.5</v>
      </c>
      <c r="G19" s="13" t="s">
        <v>42</v>
      </c>
      <c r="H19" s="7" t="s">
        <v>48</v>
      </c>
      <c r="I19" s="7"/>
      <c r="J19" s="7" t="e">
        <f>(Tableau4[[#This Row],[Guillhem]]+Tableau4[[#This Row],[Stepane]])/2</f>
        <v>#VALUE!</v>
      </c>
      <c r="K19" s="8" t="e">
        <f>ABS(Tableau4[[#This Row],[Guillhem]]-Tableau4[[#This Row],[Stepane]])</f>
        <v>#VALUE!</v>
      </c>
    </row>
    <row r="20" spans="2:11" x14ac:dyDescent="0.35">
      <c r="B20" s="4" t="s">
        <v>32</v>
      </c>
      <c r="C20" s="1">
        <v>2.5</v>
      </c>
      <c r="D20" s="1">
        <v>2.5</v>
      </c>
      <c r="E20" s="5">
        <f>(D20+C20)/2</f>
        <v>2.5</v>
      </c>
      <c r="G20" s="13" t="s">
        <v>43</v>
      </c>
      <c r="H20" s="9" t="s">
        <v>49</v>
      </c>
      <c r="I20" s="7"/>
      <c r="J20" s="37" t="e">
        <f>(Tableau4[[#This Row],[Guillhem]]+Tableau4[[#This Row],[Stepane]])/2</f>
        <v>#VALUE!</v>
      </c>
      <c r="K20" s="38" t="e">
        <f>ABS(Tableau4[[#This Row],[Guillhem]]-Tableau4[[#This Row],[Stepane]])</f>
        <v>#VALUE!</v>
      </c>
    </row>
    <row r="21" spans="2:11" x14ac:dyDescent="0.35">
      <c r="B21" s="3" t="s">
        <v>11</v>
      </c>
      <c r="C21" s="1">
        <v>2</v>
      </c>
      <c r="D21" s="1">
        <v>2.6</v>
      </c>
      <c r="E21" s="5">
        <f>(D21+C21)/2</f>
        <v>2.2999999999999998</v>
      </c>
      <c r="G21" s="13" t="s">
        <v>44</v>
      </c>
      <c r="H21" s="9" t="s">
        <v>49</v>
      </c>
      <c r="I21" s="7"/>
      <c r="J21" s="37" t="e">
        <f>(Tableau4[[#This Row],[Guillhem]]+Tableau4[[#This Row],[Stepane]])/2</f>
        <v>#VALUE!</v>
      </c>
      <c r="K21" s="38" t="e">
        <f>ABS(Tableau4[[#This Row],[Guillhem]]-Tableau4[[#This Row],[Stepane]])</f>
        <v>#VALUE!</v>
      </c>
    </row>
    <row r="22" spans="2:11" x14ac:dyDescent="0.35">
      <c r="B22" s="3" t="s">
        <v>18</v>
      </c>
      <c r="C22" s="1">
        <v>2</v>
      </c>
      <c r="D22" s="1">
        <v>2.5</v>
      </c>
      <c r="E22" s="5">
        <f>(D22+C22)/2</f>
        <v>2.25</v>
      </c>
      <c r="G22" s="13" t="s">
        <v>45</v>
      </c>
      <c r="H22" s="9" t="s">
        <v>49</v>
      </c>
      <c r="I22" s="7"/>
      <c r="J22" s="37" t="e">
        <f>(Tableau4[[#This Row],[Guillhem]]+Tableau4[[#This Row],[Stepane]])/2</f>
        <v>#VALUE!</v>
      </c>
      <c r="K22" s="38" t="e">
        <f>ABS(Tableau4[[#This Row],[Guillhem]]-Tableau4[[#This Row],[Stepane]])</f>
        <v>#VALUE!</v>
      </c>
    </row>
    <row r="23" spans="2:11" x14ac:dyDescent="0.35">
      <c r="B23" s="4" t="s">
        <v>29</v>
      </c>
      <c r="C23" s="1">
        <v>2.2000000000000002</v>
      </c>
      <c r="D23" s="1">
        <v>2</v>
      </c>
      <c r="E23" s="5">
        <f>(D23+C23)/2</f>
        <v>2.1</v>
      </c>
      <c r="G23" s="13" t="s">
        <v>46</v>
      </c>
      <c r="H23" s="9" t="s">
        <v>49</v>
      </c>
      <c r="I23" s="7"/>
      <c r="J23" s="37" t="e">
        <f>(Tableau4[[#This Row],[Guillhem]]+Tableau4[[#This Row],[Stepane]])/2</f>
        <v>#VALUE!</v>
      </c>
      <c r="K23" s="38" t="e">
        <f>ABS(Tableau4[[#This Row],[Guillhem]]-Tableau4[[#This Row],[Stepane]])</f>
        <v>#VALUE!</v>
      </c>
    </row>
    <row r="24" spans="2:11" x14ac:dyDescent="0.35">
      <c r="B24" s="3" t="s">
        <v>6</v>
      </c>
      <c r="C24" s="1">
        <v>2</v>
      </c>
      <c r="D24" s="1">
        <v>2</v>
      </c>
      <c r="E24" s="5">
        <f>(D24+C24)/2</f>
        <v>2</v>
      </c>
      <c r="G24" s="13" t="s">
        <v>47</v>
      </c>
      <c r="H24" s="9" t="s">
        <v>49</v>
      </c>
      <c r="I24" s="7"/>
      <c r="J24" s="37" t="e">
        <f>(Tableau4[[#This Row],[Guillhem]]+Tableau4[[#This Row],[Stepane]])/2</f>
        <v>#VALUE!</v>
      </c>
      <c r="K24" s="38" t="e">
        <f>ABS(Tableau4[[#This Row],[Guillhem]]-Tableau4[[#This Row],[Stepane]])</f>
        <v>#VALUE!</v>
      </c>
    </row>
    <row r="25" spans="2:11" x14ac:dyDescent="0.35">
      <c r="B25" s="6" t="s">
        <v>30</v>
      </c>
      <c r="C25" s="7">
        <v>2</v>
      </c>
      <c r="D25" s="7">
        <v>2</v>
      </c>
      <c r="E25" s="8">
        <f>(D25+C25)/2</f>
        <v>2</v>
      </c>
    </row>
    <row r="26" spans="2:11" x14ac:dyDescent="0.35">
      <c r="B26" s="13" t="s">
        <v>17</v>
      </c>
      <c r="C26" s="7">
        <v>2</v>
      </c>
      <c r="D26" s="7">
        <v>1</v>
      </c>
      <c r="E26" s="8">
        <f>(D26+C26)/2</f>
        <v>1.5</v>
      </c>
    </row>
    <row r="27" spans="2:11" x14ac:dyDescent="0.35">
      <c r="B27" s="6" t="s">
        <v>25</v>
      </c>
      <c r="C27" s="7">
        <v>2</v>
      </c>
      <c r="D27" s="7">
        <v>1</v>
      </c>
      <c r="E27" s="8">
        <f>(D27+C27)/2</f>
        <v>1.5</v>
      </c>
    </row>
    <row r="28" spans="2:11" x14ac:dyDescent="0.35">
      <c r="B28" s="13" t="s">
        <v>14</v>
      </c>
      <c r="C28" s="1">
        <v>1.5</v>
      </c>
      <c r="D28" s="1">
        <v>1</v>
      </c>
      <c r="E28" s="5">
        <f>(D28+C28)/2</f>
        <v>1.25</v>
      </c>
    </row>
    <row r="29" spans="2:11" x14ac:dyDescent="0.35">
      <c r="B29" s="13" t="s">
        <v>16</v>
      </c>
      <c r="C29" s="7">
        <v>1.5</v>
      </c>
      <c r="D29" s="7">
        <v>1</v>
      </c>
      <c r="E29" s="8">
        <f>(D29+C29)/2</f>
        <v>1.25</v>
      </c>
    </row>
    <row r="30" spans="2:11" x14ac:dyDescent="0.35">
      <c r="B30" s="13" t="s">
        <v>8</v>
      </c>
      <c r="C30" s="7">
        <v>1</v>
      </c>
      <c r="D30" s="7">
        <v>1</v>
      </c>
      <c r="E30" s="8">
        <f>(D30+C30)/2</f>
        <v>1</v>
      </c>
    </row>
    <row r="31" spans="2:11" x14ac:dyDescent="0.35">
      <c r="B31" s="13" t="s">
        <v>15</v>
      </c>
      <c r="C31" s="7">
        <v>1</v>
      </c>
      <c r="D31" s="7">
        <v>1</v>
      </c>
      <c r="E31" s="8">
        <f>(D31+C31)/2</f>
        <v>1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BINON Stepane</dc:creator>
  <cp:lastModifiedBy>BINON Stepane</cp:lastModifiedBy>
  <dcterms:created xsi:type="dcterms:W3CDTF">2026-01-17T01:43:50Z</dcterms:created>
  <dcterms:modified xsi:type="dcterms:W3CDTF">2026-01-17T02:40:05Z</dcterms:modified>
</cp:coreProperties>
</file>